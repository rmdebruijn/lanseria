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heetId="1" state="visible" r:id="rId1"/>
    <sheet xmlns:r="http://schemas.openxmlformats.org/officeDocument/2006/relationships" name="Instructions" sheetId="2" state="visible" r:id="rId2"/>
  </sheets>
  <definedNames>
    <definedName name="_xlnm._FilterDatabase" localSheetId="0" hidden="1">'Pipeline'!$A$1:$P$1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name val="Calibri"/>
      <b val="1"/>
      <color rgb="00FFFFFF"/>
      <sz val="11"/>
    </font>
    <font>
      <name val="Calibri"/>
      <b val="1"/>
      <sz val="10"/>
    </font>
    <font>
      <name val="Calibri"/>
      <sz val="10"/>
    </font>
    <font>
      <name val="Calibri"/>
      <b val="1"/>
      <color rgb="001E3A8A"/>
      <sz val="16"/>
    </font>
    <font>
      <name val="Calibri"/>
      <color rgb="00374151"/>
      <sz val="11"/>
    </font>
    <font>
      <name val="Calibri"/>
      <b val="1"/>
      <color rgb="001E3A8A"/>
      <sz val="12"/>
    </font>
    <font>
      <name val="Calibri"/>
      <color rgb="00374151"/>
      <sz val="9"/>
    </font>
  </fonts>
  <fills count="3">
    <fill>
      <patternFill/>
    </fill>
    <fill>
      <patternFill patternType="gray125"/>
    </fill>
    <fill>
      <patternFill patternType="solid">
        <fgColor rgb="001E3A8A"/>
        <bgColor rgb="001E3A8A"/>
      </patternFill>
    </fill>
  </fills>
  <borders count="2">
    <border>
      <left/>
      <right/>
      <top/>
      <bottom/>
      <diagonal/>
    </border>
    <border>
      <bottom style="thin">
        <color rgb="00E2E8F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3" fillId="0" borderId="1" pivotButton="0" quotePrefix="0" xfId="0"/>
    <xf numFmtId="3" fontId="3" fillId="0" borderId="1" applyAlignment="1" pivotButton="0" quotePrefix="0" xfId="0">
      <alignment horizontal="right"/>
    </xf>
    <xf numFmtId="165" fontId="3" fillId="0"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vertical="top" wrapText="1"/>
    </xf>
    <xf numFmtId="3" fontId="3" fillId="0" borderId="1" pivotButton="0" quotePrefix="0" xfId="0"/>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
  <sheetViews>
    <sheetView workbookViewId="0">
      <pane ySplit="1" topLeftCell="A2" activePane="bottomLeft" state="frozen"/>
      <selection pane="bottomLeft" activeCell="A1" sqref="A1"/>
    </sheetView>
  </sheetViews>
  <sheetFormatPr baseColWidth="8" defaultRowHeight="15"/>
  <cols>
    <col width="35" customWidth="1" min="1" max="1"/>
    <col width="12" customWidth="1" min="2" max="2"/>
    <col width="14" customWidth="1" min="3" max="3"/>
    <col width="25" customWidth="1" min="4" max="4"/>
    <col width="22" customWidth="1" min="5" max="5"/>
    <col width="22" customWidth="1" min="6" max="6"/>
    <col width="18" customWidth="1" min="7" max="7"/>
    <col width="25" customWidth="1" min="8" max="8"/>
    <col width="25" customWidth="1" min="9" max="9"/>
    <col width="30" customWidth="1" min="10" max="10"/>
    <col width="16" customWidth="1" min="11" max="11"/>
    <col width="16" customWidth="1" min="12" max="12"/>
    <col width="18" customWidth="1" min="13" max="13"/>
    <col width="50" customWidth="1" min="14" max="14"/>
    <col width="40" customWidth="1" min="15" max="15"/>
    <col width="14" customWidth="1" min="16" max="16"/>
  </cols>
  <sheetData>
    <row r="1" ht="35" customHeight="1">
      <c r="A1" s="1" t="inlineStr">
        <is>
          <t>Project Name</t>
        </is>
      </c>
      <c r="B1" s="1" t="inlineStr">
        <is>
          <t>Phase</t>
        </is>
      </c>
      <c r="C1" s="1" t="inlineStr">
        <is>
          <t>Stage</t>
        </is>
      </c>
      <c r="D1" s="1" t="inlineStr">
        <is>
          <t>Area</t>
        </is>
      </c>
      <c r="E1" s="1" t="inlineStr">
        <is>
          <t>Total Project Value (ZAR)</t>
        </is>
      </c>
      <c r="F1" s="1" t="inlineStr">
        <is>
          <t>TWX Project Value (ZAR)</t>
        </is>
      </c>
      <c r="G1" s="1" t="inlineStr">
        <is>
          <t>GP @30% (ZAR)</t>
        </is>
      </c>
      <c r="H1" s="1" t="inlineStr">
        <is>
          <t>Construction Company</t>
        </is>
      </c>
      <c r="I1" s="1" t="inlineStr">
        <is>
          <t>Client</t>
        </is>
      </c>
      <c r="J1" s="1" t="inlineStr">
        <is>
          <t>Client Funds</t>
        </is>
      </c>
      <c r="K1" s="1" t="inlineStr">
        <is>
          <t>Estimated Takeoff</t>
        </is>
      </c>
      <c r="L1" s="1" t="inlineStr">
        <is>
          <t>Est. Completion</t>
        </is>
      </c>
      <c r="M1" s="1" t="inlineStr">
        <is>
          <t>Est. Duration (months)</t>
        </is>
      </c>
      <c r="N1" s="1" t="inlineStr">
        <is>
          <t>Notes</t>
        </is>
      </c>
      <c r="O1" s="1" t="inlineStr">
        <is>
          <t>Risks</t>
        </is>
      </c>
      <c r="P1" s="1" t="inlineStr">
        <is>
          <t>Last Updated</t>
        </is>
      </c>
    </row>
    <row r="2" ht="45" customHeight="1">
      <c r="A2" s="2" t="inlineStr">
        <is>
          <t>Bungani Small Church</t>
        </is>
      </c>
      <c r="B2" s="3" t="inlineStr">
        <is>
          <t>Phase 1</t>
        </is>
      </c>
      <c r="C2" s="3" t="inlineStr">
        <is>
          <t>Committed</t>
        </is>
      </c>
      <c r="D2" s="3" t="inlineStr">
        <is>
          <t>Gauteng - Vereeniging</t>
        </is>
      </c>
      <c r="E2" s="4" t="n">
        <v>2000000</v>
      </c>
      <c r="F2" s="4" t="n">
        <v>680000</v>
      </c>
      <c r="G2" s="4" t="n">
        <v>204000</v>
      </c>
      <c r="H2" s="3" t="inlineStr">
        <is>
          <t>Green Block Construction</t>
        </is>
      </c>
      <c r="I2" s="3" t="inlineStr">
        <is>
          <t>Kennedy Bungani - CEO African Bank</t>
        </is>
      </c>
      <c r="J2" s="3" t="inlineStr"/>
      <c r="K2" s="5" t="n">
        <v>46054</v>
      </c>
      <c r="L2" s="6" t="inlineStr"/>
      <c r="M2" s="3" t="n">
        <v>1.8</v>
      </c>
      <c r="N2" s="7" t="inlineStr">
        <is>
          <t>Architect is busy with conceptual plans. Site Visit with architect 7/2/2026</t>
        </is>
      </c>
      <c r="O2" s="7" t="inlineStr">
        <is>
          <t>None Identified</t>
        </is>
      </c>
      <c r="P2" s="3" t="inlineStr">
        <is>
          <t>2026-02-06</t>
        </is>
      </c>
    </row>
    <row r="3" ht="45" customHeight="1">
      <c r="A3" s="2" t="inlineStr">
        <is>
          <t>Giants Castle Lodge Expansion – 15 Units (in 3 phases of 5)</t>
        </is>
      </c>
      <c r="B3" s="3" t="inlineStr">
        <is>
          <t>Phase 1</t>
        </is>
      </c>
      <c r="C3" s="3" t="inlineStr">
        <is>
          <t>Committed</t>
        </is>
      </c>
      <c r="D3" s="3" t="inlineStr">
        <is>
          <t>KZN</t>
        </is>
      </c>
      <c r="E3" s="4" t="n">
        <v>15000000</v>
      </c>
      <c r="F3" s="4" t="n">
        <v>5100000</v>
      </c>
      <c r="G3" s="4" t="n">
        <v>1530000</v>
      </c>
      <c r="H3" s="3" t="inlineStr">
        <is>
          <t>Green Block Construction</t>
        </is>
      </c>
      <c r="I3" s="3" t="inlineStr">
        <is>
          <t>Devin Botha</t>
        </is>
      </c>
      <c r="J3" s="3" t="inlineStr"/>
      <c r="K3" s="5" t="n">
        <v>46143</v>
      </c>
      <c r="L3" s="6" t="inlineStr"/>
      <c r="M3" s="3" t="n">
        <v>6</v>
      </c>
      <c r="N3" s="7" t="inlineStr">
        <is>
          <t>Met with client 11/02/2026, they want 13 units in total, delivered in blocks of 4. Architect appointed</t>
        </is>
      </c>
      <c r="O3" s="7" t="inlineStr">
        <is>
          <t>None Identified</t>
        </is>
      </c>
      <c r="P3" s="3" t="inlineStr">
        <is>
          <t>2026-02-18</t>
        </is>
      </c>
    </row>
    <row r="4" ht="45" customHeight="1">
      <c r="A4" s="2" t="inlineStr">
        <is>
          <t>NBI Youth Development Centers</t>
        </is>
      </c>
      <c r="B4" s="3" t="inlineStr">
        <is>
          <t>Phase 1</t>
        </is>
      </c>
      <c r="C4" s="3" t="inlineStr">
        <is>
          <t>Committed</t>
        </is>
      </c>
      <c r="D4" s="3" t="inlineStr">
        <is>
          <t>Gauteng, WC and KZN</t>
        </is>
      </c>
      <c r="E4" s="4" t="n">
        <v>200000000</v>
      </c>
      <c r="F4" s="4" t="n">
        <v>68000000</v>
      </c>
      <c r="G4" s="4" t="n">
        <v>20400000</v>
      </c>
      <c r="H4" s="3" t="inlineStr">
        <is>
          <t>Green Block Construction</t>
        </is>
      </c>
      <c r="I4" s="3" t="inlineStr">
        <is>
          <t>NBI</t>
        </is>
      </c>
      <c r="J4" s="3" t="inlineStr">
        <is>
          <t>•	KfW (German Development Bank)</t>
        </is>
      </c>
      <c r="K4" s="5" t="n">
        <v>46235</v>
      </c>
      <c r="L4" s="6" t="inlineStr"/>
      <c r="M4" s="3" t="n">
        <v>24</v>
      </c>
      <c r="N4" s="7" t="inlineStr">
        <is>
          <t>KfW (German Development Bank) has already allocated funding to NBI. The project consists of 5 buildings situated at different sites in SA
Timber components will be sole-sourced to Werner (outside tender) due to technical capability.
Timeline: Break ground in 2026. Tender documents expected to be received in Feb 2026</t>
        </is>
      </c>
      <c r="O4" s="7" t="inlineStr">
        <is>
          <t>Greenfield Resources is the appointed consultants driving the project and there is no sense of urgency</t>
        </is>
      </c>
      <c r="P4" s="3" t="inlineStr">
        <is>
          <t>2026-02-06</t>
        </is>
      </c>
    </row>
    <row r="5" ht="45" customHeight="1">
      <c r="A5" s="2" t="inlineStr">
        <is>
          <t>Muratie Wedding Venue</t>
        </is>
      </c>
      <c r="B5" s="3" t="inlineStr">
        <is>
          <t>Phase 1</t>
        </is>
      </c>
      <c r="C5" s="3" t="inlineStr">
        <is>
          <t>Prospect</t>
        </is>
      </c>
      <c r="D5" s="3" t="inlineStr">
        <is>
          <t>WC</t>
        </is>
      </c>
      <c r="E5" s="4" t="n">
        <v>15000000</v>
      </c>
      <c r="F5" s="4" t="n">
        <v>5100000</v>
      </c>
      <c r="G5" s="4" t="n">
        <v>1530000</v>
      </c>
      <c r="H5" s="3" t="inlineStr">
        <is>
          <t>Green Block Construction</t>
        </is>
      </c>
      <c r="I5" s="3" t="inlineStr">
        <is>
          <t>Rijk Melek (owner)</t>
        </is>
      </c>
      <c r="J5" s="3" t="inlineStr"/>
      <c r="K5" s="6" t="inlineStr"/>
      <c r="L5" s="6" t="inlineStr"/>
      <c r="M5" s="3" t="inlineStr"/>
      <c r="N5" s="7" t="inlineStr">
        <is>
          <t>Introduction made by Rutger. Require 2 cottages and a Wedding Hall. Value of project based on previous project estimates. Intro email sent to client</t>
        </is>
      </c>
      <c r="O5" s="7" t="inlineStr">
        <is>
          <t>We don’t have enough information yet.</t>
        </is>
      </c>
      <c r="P5" s="3" t="inlineStr">
        <is>
          <t>2026-02-18</t>
        </is>
      </c>
    </row>
    <row r="6" ht="45" customHeight="1">
      <c r="A6" s="2" t="inlineStr">
        <is>
          <t>AQuelle HQ Expansion</t>
        </is>
      </c>
      <c r="B6" s="3" t="inlineStr">
        <is>
          <t>Phase 1</t>
        </is>
      </c>
      <c r="C6" s="3" t="inlineStr">
        <is>
          <t>Qualified</t>
        </is>
      </c>
      <c r="D6" s="3" t="inlineStr">
        <is>
          <t>KZN</t>
        </is>
      </c>
      <c r="E6" s="4" t="n">
        <v>4000000</v>
      </c>
      <c r="F6" s="4" t="n">
        <v>1360000</v>
      </c>
      <c r="G6" s="4" t="n">
        <v>408000</v>
      </c>
      <c r="H6" s="3" t="inlineStr">
        <is>
          <t>Green Block Construction</t>
        </is>
      </c>
      <c r="I6" s="3" t="inlineStr">
        <is>
          <t>aQuelle</t>
        </is>
      </c>
      <c r="J6" s="3" t="inlineStr"/>
      <c r="K6" s="5" t="n">
        <v>46143</v>
      </c>
      <c r="L6" s="6" t="inlineStr"/>
      <c r="M6" s="3" t="n">
        <v>4</v>
      </c>
      <c r="N6" s="7" t="inlineStr">
        <is>
          <t>Architects are busy updating final plans</t>
        </is>
      </c>
      <c r="O6" s="7" t="inlineStr">
        <is>
          <t>None Identified</t>
        </is>
      </c>
      <c r="P6" s="3" t="inlineStr">
        <is>
          <t>2025-08-12</t>
        </is>
      </c>
    </row>
    <row r="7" ht="45" customHeight="1">
      <c r="A7" s="2" t="inlineStr">
        <is>
          <t>B&amp;E International – 20 Middle-Management Units</t>
        </is>
      </c>
      <c r="B7" s="3" t="inlineStr">
        <is>
          <t>Phase 1</t>
        </is>
      </c>
      <c r="C7" s="3" t="inlineStr">
        <is>
          <t>Qualified</t>
        </is>
      </c>
      <c r="D7" s="3" t="inlineStr">
        <is>
          <t>Pofadder, NC</t>
        </is>
      </c>
      <c r="E7" s="4" t="n">
        <v>12000000</v>
      </c>
      <c r="F7" s="4" t="n">
        <v>4080000</v>
      </c>
      <c r="G7" s="4" t="n">
        <v>1224000</v>
      </c>
      <c r="H7" s="3" t="inlineStr">
        <is>
          <t>Green Block Construction</t>
        </is>
      </c>
      <c r="I7" s="3" t="inlineStr">
        <is>
          <t>B&amp;E International</t>
        </is>
      </c>
      <c r="J7" s="3" t="inlineStr"/>
      <c r="K7" s="6" t="inlineStr"/>
      <c r="L7" s="6" t="inlineStr"/>
      <c r="M7" s="3" t="inlineStr"/>
      <c r="N7" s="7" t="inlineStr">
        <is>
          <t>The are still busy negotiating the mining operation</t>
        </is>
      </c>
      <c r="O7" s="7" t="inlineStr">
        <is>
          <t>They could find a cheaper solution</t>
        </is>
      </c>
      <c r="P7" s="3" t="inlineStr">
        <is>
          <t>2025-08-12</t>
        </is>
      </c>
    </row>
    <row r="8" ht="45" customHeight="1">
      <c r="A8" s="2" t="inlineStr">
        <is>
          <t>Garden Route Projects</t>
        </is>
      </c>
      <c r="B8" s="3" t="inlineStr">
        <is>
          <t>Phase 1</t>
        </is>
      </c>
      <c r="C8" s="3" t="inlineStr">
        <is>
          <t>Qualified</t>
        </is>
      </c>
      <c r="D8" s="3" t="inlineStr">
        <is>
          <t>WC</t>
        </is>
      </c>
      <c r="E8" s="4" t="n">
        <v>18000000</v>
      </c>
      <c r="F8" s="4" t="n">
        <v>6120000</v>
      </c>
      <c r="G8" s="4" t="n">
        <v>1836000</v>
      </c>
      <c r="H8" s="3" t="inlineStr">
        <is>
          <t>Green Block Construction</t>
        </is>
      </c>
      <c r="I8" s="3" t="inlineStr">
        <is>
          <t>Private Clients</t>
        </is>
      </c>
      <c r="J8" s="3" t="inlineStr"/>
      <c r="K8" s="5" t="n">
        <v>46023</v>
      </c>
      <c r="L8" s="5" t="n">
        <v>46357</v>
      </c>
      <c r="M8" s="3" t="inlineStr"/>
      <c r="N8" s="7" t="inlineStr">
        <is>
          <t>These are projects already secured by Green  Block with approved plans, these projects may not be viable for TWX but if we could transport the house components affordably these projects could be factory built. Keep in mind that 1 super link will be +- R 50 000 per trip and we need to multiple trips</t>
        </is>
      </c>
      <c r="O8" s="7" t="inlineStr"/>
      <c r="P8" s="3" t="inlineStr">
        <is>
          <t>2025-08-12</t>
        </is>
      </c>
    </row>
    <row r="9" ht="45" customHeight="1">
      <c r="A9" s="2" t="inlineStr">
        <is>
          <t>Jewish Chev - Restaurant Extension</t>
        </is>
      </c>
      <c r="B9" s="3" t="inlineStr">
        <is>
          <t>Phase 1</t>
        </is>
      </c>
      <c r="C9" s="3" t="inlineStr">
        <is>
          <t>Qualified</t>
        </is>
      </c>
      <c r="D9" s="3" t="inlineStr">
        <is>
          <t>Gauteng</t>
        </is>
      </c>
      <c r="E9" s="4" t="n">
        <v>1000000</v>
      </c>
      <c r="F9" s="4" t="n">
        <v>340000</v>
      </c>
      <c r="G9" s="4" t="n">
        <v>102000</v>
      </c>
      <c r="H9" s="3" t="inlineStr">
        <is>
          <t>Green Block Construction</t>
        </is>
      </c>
      <c r="I9" s="3" t="inlineStr">
        <is>
          <t>Chevrah Kadisha</t>
        </is>
      </c>
      <c r="J9" s="3" t="inlineStr">
        <is>
          <t>Donations</t>
        </is>
      </c>
      <c r="K9" s="5" t="n">
        <v>45834</v>
      </c>
      <c r="L9" s="6" t="inlineStr"/>
      <c r="M9" s="3" t="n">
        <v>1</v>
      </c>
      <c r="N9" s="7" t="inlineStr">
        <is>
          <t>Architect is busy with conceptual plans</t>
        </is>
      </c>
      <c r="O9" s="7" t="inlineStr"/>
      <c r="P9" s="3" t="inlineStr">
        <is>
          <t>2025-08-12</t>
        </is>
      </c>
    </row>
    <row r="10" ht="45" customHeight="1">
      <c r="A10" s="2" t="inlineStr">
        <is>
          <t>Low Cost Houses - Langa</t>
        </is>
      </c>
      <c r="B10" s="3" t="inlineStr">
        <is>
          <t>Phase 1</t>
        </is>
      </c>
      <c r="C10" s="3" t="inlineStr">
        <is>
          <t>Qualified</t>
        </is>
      </c>
      <c r="D10" s="3" t="inlineStr">
        <is>
          <t>WC</t>
        </is>
      </c>
      <c r="E10" s="4" t="n">
        <v>600000</v>
      </c>
      <c r="F10" s="4" t="n">
        <v>204000</v>
      </c>
      <c r="G10" s="4" t="n">
        <v>61200</v>
      </c>
      <c r="H10" s="3" t="inlineStr">
        <is>
          <t>Green Block Construction</t>
        </is>
      </c>
      <c r="I10" s="3" t="inlineStr">
        <is>
          <t>Donation by various donors</t>
        </is>
      </c>
      <c r="J10" s="3" t="inlineStr">
        <is>
          <t>Donations</t>
        </is>
      </c>
      <c r="K10" s="5" t="n">
        <v>46054</v>
      </c>
      <c r="L10" s="5" t="n">
        <v>46204</v>
      </c>
      <c r="M10" s="3" t="inlineStr"/>
      <c r="N10" s="7" t="inlineStr">
        <is>
          <t>Project is being driven by the University of Pretoria</t>
        </is>
      </c>
      <c r="O10" s="7" t="inlineStr">
        <is>
          <t>Cost of transport to Cape Town</t>
        </is>
      </c>
      <c r="P10" s="3" t="inlineStr">
        <is>
          <t>2025-08-12</t>
        </is>
      </c>
    </row>
    <row r="11" ht="45" customHeight="1">
      <c r="A11" s="2" t="inlineStr">
        <is>
          <t>Peace parks Zimbabwean Lodge</t>
        </is>
      </c>
      <c r="B11" s="3" t="inlineStr">
        <is>
          <t>Phase 1</t>
        </is>
      </c>
      <c r="C11" s="3" t="inlineStr">
        <is>
          <t>Qualified</t>
        </is>
      </c>
      <c r="D11" s="3" t="inlineStr">
        <is>
          <t>Gauteng Manufacturing</t>
        </is>
      </c>
      <c r="E11" s="4" t="n"/>
      <c r="F11" s="4" t="n">
        <v>4000000</v>
      </c>
      <c r="G11" s="4" t="n">
        <v>1200000</v>
      </c>
      <c r="H11" s="3" t="inlineStr">
        <is>
          <t>Green Block Construction</t>
        </is>
      </c>
      <c r="I11" s="3" t="inlineStr">
        <is>
          <t>Peaceparks</t>
        </is>
      </c>
      <c r="J11" s="3" t="inlineStr">
        <is>
          <t>International Funding via Peaceparks Foundation</t>
        </is>
      </c>
      <c r="K11" s="5" t="n">
        <v>46388</v>
      </c>
      <c r="L11" s="6" t="inlineStr"/>
      <c r="M11" s="3" t="inlineStr"/>
      <c r="N11" s="7" t="inlineStr">
        <is>
          <t>Peaceparks is currently securing funding, we already costed some components for the project but we are unsure of the total scope as the site development plan has not been finalized</t>
        </is>
      </c>
      <c r="O11" s="7" t="inlineStr">
        <is>
          <t>Timeframe unknown</t>
        </is>
      </c>
      <c r="P11" s="3" t="inlineStr">
        <is>
          <t>2025-08-12</t>
        </is>
      </c>
    </row>
    <row r="12" ht="45" customHeight="1">
      <c r="A12" s="2" t="inlineStr">
        <is>
          <t>Limbro Park Development</t>
        </is>
      </c>
      <c r="B12" s="3" t="inlineStr">
        <is>
          <t>Phase 2</t>
        </is>
      </c>
      <c r="C12" s="3" t="inlineStr">
        <is>
          <t>Costed</t>
        </is>
      </c>
      <c r="D12" s="3" t="inlineStr">
        <is>
          <t>Gauteng</t>
        </is>
      </c>
      <c r="E12" s="4" t="n">
        <v>250000000</v>
      </c>
      <c r="F12" s="4" t="n">
        <v>87500000</v>
      </c>
      <c r="G12" s="4" t="n">
        <v>26250000</v>
      </c>
      <c r="H12" s="3" t="inlineStr">
        <is>
          <t>Green Block Construction</t>
        </is>
      </c>
      <c r="I12" s="3" t="inlineStr">
        <is>
          <t>Akoma</t>
        </is>
      </c>
      <c r="J12" s="3" t="inlineStr">
        <is>
          <t>DBSA Green Fund (Development Bank of South Africa)</t>
        </is>
      </c>
      <c r="K12" s="5" t="n">
        <v>46539</v>
      </c>
      <c r="L12" s="6" t="inlineStr"/>
      <c r="M12" s="3" t="n">
        <v>24</v>
      </c>
      <c r="N12" s="7" t="inlineStr">
        <is>
          <t>Large blocks of flats, multiple repeated modular units.
Developer claims DBSA financing is in place, but still significant bankability work required.
Werner met the architect, engineer, and a director based in London. Wall costing supplied to client January 2026
Their previous engagement with Mass Timber Technologies suggested unsustainable cost escalation.
Werner pitched TimberWorx as:
Independent technology expert
Capable of creating a financially viable design &amp; delivery model</t>
        </is>
      </c>
      <c r="O12" s="7" t="inlineStr">
        <is>
          <t>Directors seem young and inexperienced</t>
        </is>
      </c>
      <c r="P12" s="3" t="inlineStr">
        <is>
          <t>2026-02-06</t>
        </is>
      </c>
    </row>
    <row r="13" ht="45" customHeight="1">
      <c r="A13" s="2" t="inlineStr">
        <is>
          <t>Lesotho Development</t>
        </is>
      </c>
      <c r="B13" s="3" t="inlineStr">
        <is>
          <t>Phase 2</t>
        </is>
      </c>
      <c r="C13" s="3" t="inlineStr">
        <is>
          <t>Prospect</t>
        </is>
      </c>
      <c r="D13" s="3" t="inlineStr">
        <is>
          <t>Lesotho</t>
        </is>
      </c>
      <c r="E13" s="4" t="n">
        <v>420000000</v>
      </c>
      <c r="F13" s="4" t="n">
        <v>142800000</v>
      </c>
      <c r="G13" s="4" t="n">
        <v>42840000</v>
      </c>
      <c r="H13" s="3" t="inlineStr">
        <is>
          <t>Developer</t>
        </is>
      </c>
      <c r="I13" s="3" t="inlineStr"/>
      <c r="J13" s="3" t="inlineStr"/>
      <c r="K13" s="6" t="inlineStr"/>
      <c r="L13" s="6" t="inlineStr"/>
      <c r="M13" s="3" t="inlineStr"/>
      <c r="N13" s="7" t="inlineStr">
        <is>
          <t>At this point developer was introduced to use via Sechaba and they have shown interest. They have delivered the first 100 of the 800 houses they want to deliver. They houses sell of r ZAR 1 000 000.00 each. They built the first 100 in brick and mortar over 5 years. They are interested in switching over to timber if its cheaper and faster.</t>
        </is>
      </c>
      <c r="O13" s="7" t="inlineStr">
        <is>
          <t>We don’t have enough information yet.</t>
        </is>
      </c>
      <c r="P13" s="3" t="inlineStr">
        <is>
          <t>2026-02-18</t>
        </is>
      </c>
    </row>
    <row r="14" ht="45" customHeight="1">
      <c r="A14" s="2" t="inlineStr">
        <is>
          <t>Student Accommodation</t>
        </is>
      </c>
      <c r="B14" s="3" t="inlineStr">
        <is>
          <t>Phase 2</t>
        </is>
      </c>
      <c r="C14" s="3" t="inlineStr">
        <is>
          <t>Prospect</t>
        </is>
      </c>
      <c r="D14" s="3" t="inlineStr">
        <is>
          <t>Limpopo - near university of Venda</t>
        </is>
      </c>
      <c r="E14" s="4" t="n">
        <v>300000000</v>
      </c>
      <c r="F14" s="4" t="n">
        <v>102000000</v>
      </c>
      <c r="G14" s="4" t="n">
        <v>30600000</v>
      </c>
      <c r="H14" s="3" t="inlineStr">
        <is>
          <t>Developer</t>
        </is>
      </c>
      <c r="I14" s="3" t="inlineStr"/>
      <c r="J14" s="3" t="inlineStr"/>
      <c r="K14" s="6" t="inlineStr"/>
      <c r="L14" s="6" t="inlineStr"/>
      <c r="M14" s="3" t="inlineStr"/>
      <c r="N14" s="7" t="inlineStr">
        <is>
          <t>The client are also developer, they aim to supply 5 000 beds. We where introduced by Sechaba. We are taking a Quess at the value as the project has not been costed (based on a square meter required per student bed and communal space)</t>
        </is>
      </c>
      <c r="O14" s="7" t="inlineStr">
        <is>
          <t>We don’t have enough information yet.</t>
        </is>
      </c>
      <c r="P14" s="3" t="inlineStr">
        <is>
          <t>2026-02-18</t>
        </is>
      </c>
    </row>
    <row r="15" ht="30" customHeight="1">
      <c r="A15" s="3" t="n"/>
      <c r="B15" s="3" t="n"/>
      <c r="C15" s="3" t="n"/>
      <c r="D15" s="3" t="n"/>
      <c r="E15" s="3" t="n"/>
      <c r="F15" s="3" t="n"/>
      <c r="G15" s="8">
        <f>IF(F15&lt;&gt;"",F15*0.3,"")</f>
        <v/>
      </c>
      <c r="H15" s="3" t="n"/>
      <c r="I15" s="3" t="n"/>
      <c r="J15" s="3" t="n"/>
      <c r="K15" s="3" t="n"/>
      <c r="L15" s="3" t="n"/>
      <c r="M15" s="3" t="n"/>
      <c r="N15" s="3" t="n"/>
      <c r="O15" s="3" t="n"/>
      <c r="P15" s="3" t="n"/>
    </row>
    <row r="16" ht="30" customHeight="1">
      <c r="A16" s="3" t="n"/>
      <c r="B16" s="3" t="n"/>
      <c r="C16" s="3" t="n"/>
      <c r="D16" s="3" t="n"/>
      <c r="E16" s="3" t="n"/>
      <c r="F16" s="3" t="n"/>
      <c r="G16" s="8">
        <f>IF(F16&lt;&gt;"",F16*0.3,"")</f>
        <v/>
      </c>
      <c r="H16" s="3" t="n"/>
      <c r="I16" s="3" t="n"/>
      <c r="J16" s="3" t="n"/>
      <c r="K16" s="3" t="n"/>
      <c r="L16" s="3" t="n"/>
      <c r="M16" s="3" t="n"/>
      <c r="N16" s="3" t="n"/>
      <c r="O16" s="3" t="n"/>
      <c r="P16" s="3" t="n"/>
    </row>
    <row r="17" ht="30" customHeight="1">
      <c r="A17" s="3" t="n"/>
      <c r="B17" s="3" t="n"/>
      <c r="C17" s="3" t="n"/>
      <c r="D17" s="3" t="n"/>
      <c r="E17" s="3" t="n"/>
      <c r="F17" s="3" t="n"/>
      <c r="G17" s="8">
        <f>IF(F17&lt;&gt;"",F17*0.3,"")</f>
        <v/>
      </c>
      <c r="H17" s="3" t="n"/>
      <c r="I17" s="3" t="n"/>
      <c r="J17" s="3" t="n"/>
      <c r="K17" s="3" t="n"/>
      <c r="L17" s="3" t="n"/>
      <c r="M17" s="3" t="n"/>
      <c r="N17" s="3" t="n"/>
      <c r="O17" s="3" t="n"/>
      <c r="P17" s="3" t="n"/>
    </row>
    <row r="18" ht="30" customHeight="1">
      <c r="A18" s="3" t="n"/>
      <c r="B18" s="3" t="n"/>
      <c r="C18" s="3" t="n"/>
      <c r="D18" s="3" t="n"/>
      <c r="E18" s="3" t="n"/>
      <c r="F18" s="3" t="n"/>
      <c r="G18" s="8">
        <f>IF(F18&lt;&gt;"",F18*0.3,"")</f>
        <v/>
      </c>
      <c r="H18" s="3" t="n"/>
      <c r="I18" s="3" t="n"/>
      <c r="J18" s="3" t="n"/>
      <c r="K18" s="3" t="n"/>
      <c r="L18" s="3" t="n"/>
      <c r="M18" s="3" t="n"/>
      <c r="N18" s="3" t="n"/>
      <c r="O18" s="3" t="n"/>
      <c r="P18" s="3" t="n"/>
    </row>
    <row r="19" ht="30" customHeight="1">
      <c r="A19" s="3" t="n"/>
      <c r="B19" s="3" t="n"/>
      <c r="C19" s="3" t="n"/>
      <c r="D19" s="3" t="n"/>
      <c r="E19" s="3" t="n"/>
      <c r="F19" s="3" t="n"/>
      <c r="G19" s="8">
        <f>IF(F19&lt;&gt;"",F19*0.3,"")</f>
        <v/>
      </c>
      <c r="H19" s="3" t="n"/>
      <c r="I19" s="3" t="n"/>
      <c r="J19" s="3" t="n"/>
      <c r="K19" s="3" t="n"/>
      <c r="L19" s="3" t="n"/>
      <c r="M19" s="3" t="n"/>
      <c r="N19" s="3" t="n"/>
      <c r="O19" s="3" t="n"/>
      <c r="P19" s="3" t="n"/>
    </row>
    <row r="20" ht="30" customHeight="1">
      <c r="A20" s="3" t="n"/>
      <c r="B20" s="3" t="n"/>
      <c r="C20" s="3" t="n"/>
      <c r="D20" s="3" t="n"/>
      <c r="E20" s="3" t="n"/>
      <c r="F20" s="3" t="n"/>
      <c r="G20" s="8">
        <f>IF(F20&lt;&gt;"",F20*0.3,"")</f>
        <v/>
      </c>
      <c r="H20" s="3" t="n"/>
      <c r="I20" s="3" t="n"/>
      <c r="J20" s="3" t="n"/>
      <c r="K20" s="3" t="n"/>
      <c r="L20" s="3" t="n"/>
      <c r="M20" s="3" t="n"/>
      <c r="N20" s="3" t="n"/>
      <c r="O20" s="3" t="n"/>
      <c r="P20" s="3" t="n"/>
    </row>
    <row r="21" ht="30" customHeight="1">
      <c r="A21" s="3" t="n"/>
      <c r="B21" s="3" t="n"/>
      <c r="C21" s="3" t="n"/>
      <c r="D21" s="3" t="n"/>
      <c r="E21" s="3" t="n"/>
      <c r="F21" s="3" t="n"/>
      <c r="G21" s="8">
        <f>IF(F21&lt;&gt;"",F21*0.3,"")</f>
        <v/>
      </c>
      <c r="H21" s="3" t="n"/>
      <c r="I21" s="3" t="n"/>
      <c r="J21" s="3" t="n"/>
      <c r="K21" s="3" t="n"/>
      <c r="L21" s="3" t="n"/>
      <c r="M21" s="3" t="n"/>
      <c r="N21" s="3" t="n"/>
      <c r="O21" s="3" t="n"/>
      <c r="P21" s="3" t="n"/>
    </row>
    <row r="22" ht="30" customHeight="1">
      <c r="A22" s="3" t="n"/>
      <c r="B22" s="3" t="n"/>
      <c r="C22" s="3" t="n"/>
      <c r="D22" s="3" t="n"/>
      <c r="E22" s="3" t="n"/>
      <c r="F22" s="3" t="n"/>
      <c r="G22" s="8">
        <f>IF(F22&lt;&gt;"",F22*0.3,"")</f>
        <v/>
      </c>
      <c r="H22" s="3" t="n"/>
      <c r="I22" s="3" t="n"/>
      <c r="J22" s="3" t="n"/>
      <c r="K22" s="3" t="n"/>
      <c r="L22" s="3" t="n"/>
      <c r="M22" s="3" t="n"/>
      <c r="N22" s="3" t="n"/>
      <c r="O22" s="3" t="n"/>
      <c r="P22" s="3" t="n"/>
    </row>
    <row r="23" ht="30" customHeight="1">
      <c r="A23" s="3" t="n"/>
      <c r="B23" s="3" t="n"/>
      <c r="C23" s="3" t="n"/>
      <c r="D23" s="3" t="n"/>
      <c r="E23" s="3" t="n"/>
      <c r="F23" s="3" t="n"/>
      <c r="G23" s="8">
        <f>IF(F23&lt;&gt;"",F23*0.3,"")</f>
        <v/>
      </c>
      <c r="H23" s="3" t="n"/>
      <c r="I23" s="3" t="n"/>
      <c r="J23" s="3" t="n"/>
      <c r="K23" s="3" t="n"/>
      <c r="L23" s="3" t="n"/>
      <c r="M23" s="3" t="n"/>
      <c r="N23" s="3" t="n"/>
      <c r="O23" s="3" t="n"/>
      <c r="P23" s="3" t="n"/>
    </row>
    <row r="24" ht="30" customHeight="1">
      <c r="A24" s="3" t="n"/>
      <c r="B24" s="3" t="n"/>
      <c r="C24" s="3" t="n"/>
      <c r="D24" s="3" t="n"/>
      <c r="E24" s="3" t="n"/>
      <c r="F24" s="3" t="n"/>
      <c r="G24" s="8">
        <f>IF(F24&lt;&gt;"",F24*0.3,"")</f>
        <v/>
      </c>
      <c r="H24" s="3" t="n"/>
      <c r="I24" s="3" t="n"/>
      <c r="J24" s="3" t="n"/>
      <c r="K24" s="3" t="n"/>
      <c r="L24" s="3" t="n"/>
      <c r="M24" s="3" t="n"/>
      <c r="N24" s="3" t="n"/>
      <c r="O24" s="3" t="n"/>
      <c r="P24" s="3" t="n"/>
    </row>
  </sheetData>
  <autoFilter ref="A1:P1"/>
  <dataValidations count="2">
    <dataValidation sqref="B2:B24" showDropDown="0" showInputMessage="0" showErrorMessage="0" allowBlank="1" errorTitle="Invalid Phase" error="Please select Phase 1 or Phase 2" type="list">
      <formula1>"Phase 1,Phase 2"</formula1>
    </dataValidation>
    <dataValidation sqref="C2:C24" showDropDown="0" showInputMessage="0" showErrorMessage="0" allowBlank="1" errorTitle="Invalid Stage" error="Please select a valid stage" type="list">
      <formula1>"Prospect,Qualified,Costed,Committed,In Progress,Completed,On Hold"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80" customWidth="1" min="1" max="1"/>
  </cols>
  <sheetData>
    <row r="1">
      <c r="A1" s="9" t="inlineStr">
        <is>
          <t>TWX Sales Pipeline — Update Guide</t>
        </is>
      </c>
    </row>
    <row r="2">
      <c r="A2" s="10" t="inlineStr"/>
    </row>
    <row r="3">
      <c r="A3" s="11" t="inlineStr">
        <is>
          <t>How to update:</t>
        </is>
      </c>
    </row>
    <row r="4">
      <c r="A4" s="10" t="inlineStr">
        <is>
          <t>1. Go to the Pipeline sheet</t>
        </is>
      </c>
    </row>
    <row r="5">
      <c r="A5" s="10" t="inlineStr">
        <is>
          <t>2. Edit existing projects directly in their rows</t>
        </is>
      </c>
    </row>
    <row r="6">
      <c r="A6" s="10" t="inlineStr">
        <is>
          <t>3. Add new projects in the empty rows at the bottom</t>
        </is>
      </c>
    </row>
    <row r="7">
      <c r="A7" s="10" t="inlineStr">
        <is>
          <t>4. Use the Phase and Stage dropdowns (click the cell)</t>
        </is>
      </c>
    </row>
    <row r="8">
      <c r="A8" s="10" t="inlineStr">
        <is>
          <t>5. Enter values in ZAR (no R prefix needed, just the number)</t>
        </is>
      </c>
    </row>
    <row r="9">
      <c r="A9" s="10" t="inlineStr">
        <is>
          <t>6. Dates: use YYYY-MM-DD format (e.g. 2026-08-01)</t>
        </is>
      </c>
    </row>
    <row r="10">
      <c r="A10" s="10" t="inlineStr">
        <is>
          <t>7. Duration: enter number of months (e.g. 24)</t>
        </is>
      </c>
    </row>
    <row r="11">
      <c r="A11" s="10" t="inlineStr">
        <is>
          <t>8. Update the "Last Updated" column when you change a row</t>
        </is>
      </c>
    </row>
    <row r="12">
      <c r="A12" s="10" t="inlineStr">
        <is>
          <t>9. Save and send the file to Rutger</t>
        </is>
      </c>
    </row>
    <row r="13">
      <c r="A13" s="10" t="inlineStr"/>
    </row>
    <row r="14">
      <c r="A14" s="11" t="inlineStr">
        <is>
          <t>Column guide:</t>
        </is>
      </c>
    </row>
    <row r="15">
      <c r="A15" s="10" t="inlineStr">
        <is>
          <t>Project Name — Full project name</t>
        </is>
      </c>
    </row>
    <row r="16">
      <c r="A16" s="10" t="inlineStr">
        <is>
          <t>Phase — Phase 1 (near-term) or Phase 2 (future)</t>
        </is>
      </c>
    </row>
    <row r="17">
      <c r="A17" s="10" t="inlineStr">
        <is>
          <t>Stage — Where the project is in the sales funnel:</t>
        </is>
      </c>
    </row>
    <row r="18">
      <c r="A18" s="10" t="inlineStr">
        <is>
          <t xml:space="preserve">    Prospect = Early interest, not enough info yet</t>
        </is>
      </c>
    </row>
    <row r="19">
      <c r="A19" s="10" t="inlineStr">
        <is>
          <t xml:space="preserve">    Qualified = Past initial contact, discussions ongoing</t>
        </is>
      </c>
    </row>
    <row r="20">
      <c r="A20" s="10" t="inlineStr">
        <is>
          <t xml:space="preserve">    Costed = Costing supplied to client</t>
        </is>
      </c>
    </row>
    <row r="21">
      <c r="A21" s="10" t="inlineStr">
        <is>
          <t xml:space="preserve">    Committed = Funding secured, architect appointed, or breaking ground</t>
        </is>
      </c>
    </row>
    <row r="22">
      <c r="A22" s="10" t="inlineStr">
        <is>
          <t xml:space="preserve">    In Progress = Construction underway</t>
        </is>
      </c>
    </row>
    <row r="23">
      <c r="A23" s="10" t="inlineStr">
        <is>
          <t xml:space="preserve">    Completed = Project delivered</t>
        </is>
      </c>
    </row>
    <row r="24">
      <c r="A24" s="10" t="inlineStr">
        <is>
          <t xml:space="preserve">    On Hold = Paused</t>
        </is>
      </c>
    </row>
    <row r="25">
      <c r="A25" s="10" t="inlineStr">
        <is>
          <t>Total Project Value — Full project value in ZAR</t>
        </is>
      </c>
    </row>
    <row r="26">
      <c r="A26" s="10" t="inlineStr">
        <is>
          <t>TWX Project Value — Timberworx portion (typically 34% of total)</t>
        </is>
      </c>
    </row>
    <row r="27">
      <c r="A27" s="10" t="inlineStr">
        <is>
          <t>GP @30% — Auto-calculated: 30% of TWX value</t>
        </is>
      </c>
    </row>
    <row r="28">
      <c r="A28" s="10" t="inlineStr">
        <is>
          <t>Notes — Key details, meeting notes, progress updates</t>
        </is>
      </c>
    </row>
    <row r="29">
      <c r="A29" s="10" t="inlineStr">
        <is>
          <t>Risks — Known risks and concerns</t>
        </is>
      </c>
    </row>
    <row r="30">
      <c r="A30" s="10" t="inlineStr"/>
    </row>
    <row r="31">
      <c r="A31" s="11" t="inlineStr">
        <is>
          <t>Tips:</t>
        </is>
      </c>
    </row>
    <row r="32">
      <c r="A32" s="10" t="inlineStr">
        <is>
          <t>- If you don't know a value, leave it blank (don't type "Unknown")</t>
        </is>
      </c>
    </row>
    <row r="33">
      <c r="A33" s="10" t="inlineStr">
        <is>
          <t>- The GP column auto-calculates if you enter a formula: =F2*0.3</t>
        </is>
      </c>
    </row>
    <row r="34">
      <c r="A34" s="10" t="inlineStr">
        <is>
          <t>- You can sort/filter using the arrows in the header row</t>
        </is>
      </c>
    </row>
    <row r="35">
      <c r="A35" s="10" t="inlineStr"/>
    </row>
    <row r="36">
      <c r="A36" s="12" t="inlineStr">
        <is>
          <t>Generated: 2026-02-18 12:09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2026-02-18T10:09:59Z</dcterms:created>
  <dcterms:modified xmlns:dcterms="http://purl.org/dc/terms/" xmlns:xsi="http://www.w3.org/2001/XMLSchema-instance" xsi:type="dcterms:W3CDTF">2026-02-18T10:09:59Z</dcterms:modified>
</cp:coreProperties>
</file>